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\Downloads\bladecraft\"/>
    </mc:Choice>
  </mc:AlternateContent>
  <xr:revisionPtr revIDLastSave="0" documentId="13_ncr:1_{BC2C170A-382D-4B3E-9D2D-DADADAFD502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AWT" sheetId="1" r:id="rId1"/>
  </sheets>
  <definedNames>
    <definedName name="_xlnm._FilterDatabase" localSheetId="0" hidden="1">HAWT!$N$2:$O$2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6" i="1" s="1"/>
  <c r="E4" i="1" l="1"/>
  <c r="H4" i="1" s="1"/>
  <c r="H3" i="1"/>
  <c r="G3" i="1"/>
  <c r="E5" i="1" l="1"/>
  <c r="G4" i="1"/>
  <c r="H5" i="1" l="1"/>
  <c r="G5" i="1"/>
  <c r="E6" i="1"/>
  <c r="H6" i="1" l="1"/>
  <c r="G6" i="1"/>
  <c r="E7" i="1"/>
  <c r="H7" i="1" l="1"/>
  <c r="G7" i="1"/>
  <c r="E8" i="1"/>
  <c r="G8" i="1" l="1"/>
  <c r="E9" i="1"/>
  <c r="H8" i="1"/>
  <c r="G9" i="1" l="1"/>
  <c r="E10" i="1"/>
  <c r="H9" i="1"/>
  <c r="G10" i="1" l="1"/>
  <c r="E11" i="1"/>
  <c r="H10" i="1"/>
  <c r="G11" i="1" l="1"/>
  <c r="E12" i="1"/>
  <c r="H11" i="1"/>
  <c r="G12" i="1" l="1"/>
  <c r="E13" i="1"/>
  <c r="H12" i="1"/>
  <c r="G13" i="1" l="1"/>
  <c r="E14" i="1"/>
  <c r="H13" i="1"/>
  <c r="G14" i="1" l="1"/>
  <c r="E15" i="1"/>
  <c r="H14" i="1"/>
  <c r="G15" i="1" l="1"/>
  <c r="E16" i="1"/>
  <c r="H15" i="1"/>
  <c r="G16" i="1" l="1"/>
  <c r="E17" i="1"/>
  <c r="H16" i="1"/>
  <c r="H17" i="1" l="1"/>
  <c r="G17" i="1"/>
  <c r="E18" i="1"/>
  <c r="H18" i="1" l="1"/>
  <c r="G18" i="1"/>
  <c r="E19" i="1"/>
  <c r="H19" i="1" l="1"/>
  <c r="G19" i="1"/>
  <c r="E20" i="1"/>
  <c r="G20" i="1" l="1"/>
  <c r="E21" i="1"/>
  <c r="H20" i="1"/>
  <c r="G21" i="1" l="1"/>
  <c r="E22" i="1"/>
  <c r="H21" i="1"/>
  <c r="G22" i="1" l="1"/>
  <c r="H22" i="1"/>
  <c r="F22" i="1" l="1"/>
  <c r="F21" i="1" l="1"/>
  <c r="M22" i="1" l="1"/>
  <c r="F20" i="1"/>
  <c r="M21" i="1" l="1"/>
  <c r="F19" i="1"/>
  <c r="M20" i="1" l="1"/>
  <c r="F18" i="1"/>
  <c r="M19" i="1" s="1"/>
  <c r="F17" i="1" l="1"/>
  <c r="M18" i="1" s="1"/>
  <c r="F16" i="1" l="1"/>
  <c r="M17" i="1" s="1"/>
  <c r="F15" i="1" l="1"/>
  <c r="M16" i="1" s="1"/>
  <c r="F14" i="1" l="1"/>
  <c r="M15" i="1" s="1"/>
  <c r="F13" i="1" l="1"/>
  <c r="M14" i="1" s="1"/>
  <c r="F12" i="1" l="1"/>
  <c r="F11" i="1" s="1"/>
  <c r="M13" i="1" l="1"/>
  <c r="M12" i="1"/>
  <c r="F10" i="1"/>
  <c r="M11" i="1" l="1"/>
  <c r="F9" i="1"/>
  <c r="M10" i="1" l="1"/>
  <c r="F8" i="1"/>
  <c r="M9" i="1" l="1"/>
  <c r="F7" i="1"/>
  <c r="M8" i="1" l="1"/>
  <c r="F6" i="1"/>
  <c r="M7" i="1" l="1"/>
  <c r="F5" i="1"/>
  <c r="M6" i="1" l="1"/>
  <c r="F4" i="1"/>
  <c r="M5" i="1" l="1"/>
  <c r="F3" i="1"/>
  <c r="M3" i="1" l="1"/>
  <c r="M4" i="1"/>
  <c r="I3" i="1"/>
  <c r="J3" i="1" s="1"/>
  <c r="L3" i="1" s="1"/>
  <c r="I21" i="1"/>
  <c r="J21" i="1" s="1"/>
  <c r="L21" i="1" s="1"/>
  <c r="I20" i="1"/>
  <c r="J20" i="1" s="1"/>
  <c r="L20" i="1" s="1"/>
  <c r="I18" i="1"/>
  <c r="J18" i="1" s="1"/>
  <c r="L18" i="1" s="1"/>
  <c r="I16" i="1"/>
  <c r="J16" i="1" s="1"/>
  <c r="L16" i="1" s="1"/>
  <c r="I15" i="1"/>
  <c r="J15" i="1" s="1"/>
  <c r="L15" i="1" s="1"/>
  <c r="I14" i="1"/>
  <c r="J14" i="1" s="1"/>
  <c r="L14" i="1" s="1"/>
  <c r="I13" i="1"/>
  <c r="J13" i="1" s="1"/>
  <c r="L13" i="1" s="1"/>
  <c r="I12" i="1"/>
  <c r="J12" i="1" s="1"/>
  <c r="L12" i="1" s="1"/>
  <c r="I11" i="1"/>
  <c r="J11" i="1" s="1"/>
  <c r="L11" i="1" s="1"/>
  <c r="I10" i="1"/>
  <c r="J10" i="1" s="1"/>
  <c r="L10" i="1" s="1"/>
  <c r="I9" i="1"/>
  <c r="J9" i="1" s="1"/>
  <c r="L9" i="1" s="1"/>
  <c r="I8" i="1"/>
  <c r="J8" i="1" s="1"/>
  <c r="L8" i="1" s="1"/>
  <c r="I7" i="1"/>
  <c r="J7" i="1" s="1"/>
  <c r="L7" i="1" s="1"/>
  <c r="I6" i="1"/>
  <c r="J6" i="1" s="1"/>
  <c r="L6" i="1" s="1"/>
  <c r="I5" i="1"/>
  <c r="J5" i="1" s="1"/>
  <c r="L5" i="1" s="1"/>
  <c r="I22" i="1"/>
  <c r="J22" i="1" s="1"/>
  <c r="L22" i="1" s="1"/>
  <c r="I19" i="1"/>
  <c r="J19" i="1" s="1"/>
  <c r="L19" i="1" s="1"/>
  <c r="I17" i="1"/>
  <c r="J17" i="1" s="1"/>
  <c r="L17" i="1" s="1"/>
  <c r="I4" i="1"/>
  <c r="J4" i="1" s="1"/>
  <c r="L4" i="1" s="1"/>
  <c r="C17" i="1" l="1"/>
  <c r="K41" i="1"/>
  <c r="K42" i="1" s="1"/>
  <c r="O41" i="1"/>
  <c r="O42" i="1" s="1"/>
  <c r="K16" i="1"/>
  <c r="K4" i="1"/>
  <c r="H41" i="1"/>
  <c r="H42" i="1" s="1"/>
  <c r="L41" i="1"/>
  <c r="L42" i="1" s="1"/>
  <c r="P41" i="1"/>
  <c r="P42" i="1" s="1"/>
  <c r="K18" i="1"/>
  <c r="K6" i="1"/>
  <c r="K10" i="1"/>
  <c r="K14" i="1"/>
  <c r="V41" i="1"/>
  <c r="V42" i="1" s="1"/>
  <c r="K7" i="1"/>
  <c r="K11" i="1"/>
  <c r="K15" i="1"/>
  <c r="X41" i="1"/>
  <c r="X42" i="1" s="1"/>
  <c r="K19" i="1"/>
  <c r="K17" i="1"/>
  <c r="T41" i="1"/>
  <c r="T42" i="1" s="1"/>
  <c r="K3" i="1"/>
  <c r="Y41" i="1"/>
  <c r="Y42" i="1" s="1"/>
  <c r="K22" i="1"/>
  <c r="K20" i="1"/>
  <c r="W41" i="1"/>
  <c r="W42" i="1" s="1"/>
  <c r="I41" i="1"/>
  <c r="I42" i="1" s="1"/>
  <c r="M41" i="1"/>
  <c r="M42" i="1" s="1"/>
  <c r="Q41" i="1"/>
  <c r="Q42" i="1" s="1"/>
  <c r="S41" i="1"/>
  <c r="S42" i="1" s="1"/>
  <c r="U41" i="1"/>
  <c r="U42" i="1" s="1"/>
  <c r="K21" i="1"/>
  <c r="N41" i="1"/>
  <c r="N42" i="1" s="1"/>
  <c r="K12" i="1"/>
  <c r="R41" i="1"/>
  <c r="R42" i="1" s="1"/>
  <c r="K5" i="1"/>
  <c r="K9" i="1"/>
  <c r="K13" i="1"/>
  <c r="K8" i="1"/>
  <c r="J41" i="1"/>
  <c r="J42" i="1" s="1"/>
  <c r="G41" i="1"/>
  <c r="G42" i="1" s="1"/>
  <c r="C16" i="1" l="1"/>
  <c r="C15" i="1" s="1"/>
  <c r="F41" i="1"/>
  <c r="F42" i="1" s="1"/>
</calcChain>
</file>

<file path=xl/sharedStrings.xml><?xml version="1.0" encoding="utf-8"?>
<sst xmlns="http://schemas.openxmlformats.org/spreadsheetml/2006/main" count="28" uniqueCount="27">
  <si>
    <t>Sectional 
Radius
(m)</t>
  </si>
  <si>
    <t>Air Density (Kg/m^3)</t>
  </si>
  <si>
    <t>NACA 4412</t>
  </si>
  <si>
    <t>Lift 
Coefficent (CLD)</t>
  </si>
  <si>
    <t>Chord Length (C) (m)</t>
  </si>
  <si>
    <r>
      <t>Tip Speed Ratio at Radius (</t>
    </r>
    <r>
      <rPr>
        <b/>
        <sz val="11"/>
        <color theme="1"/>
        <rFont val="Calibri"/>
        <family val="2"/>
      </rPr>
      <t>λr)</t>
    </r>
  </si>
  <si>
    <t>Rotor Radius (R) (m)</t>
  </si>
  <si>
    <t>φ</t>
  </si>
  <si>
    <t>Blade Setting Angle (β)
 (˚)</t>
  </si>
  <si>
    <r>
      <t>Angle 
of attack (α)
 (</t>
    </r>
    <r>
      <rPr>
        <b/>
        <sz val="11"/>
        <color theme="1"/>
        <rFont val="Calibri"/>
        <family val="2"/>
      </rPr>
      <t>˚)</t>
    </r>
  </si>
  <si>
    <t>Angle 
of attack (α)
 (˚)</t>
  </si>
  <si>
    <t>Section</t>
  </si>
  <si>
    <t>Number of Sections  (5 to 20)</t>
  </si>
  <si>
    <t>(-)0.5C</t>
  </si>
  <si>
    <t>(+)0.5C</t>
  </si>
  <si>
    <t>Segment Length (m)</t>
  </si>
  <si>
    <r>
      <t>Solidity (</t>
    </r>
    <r>
      <rPr>
        <b/>
        <sz val="11"/>
        <color theme="1"/>
        <rFont val="Calibri"/>
        <family val="2"/>
      </rPr>
      <t>σ)</t>
    </r>
  </si>
  <si>
    <t>Designed Tip 
Speed Ratio (λD)</t>
  </si>
  <si>
    <t>Designed 
Wind Speed (VD) (m/s)</t>
  </si>
  <si>
    <t>Power Coeffcient (Cp)</t>
  </si>
  <si>
    <t>Requred Power (PT) (W)</t>
  </si>
  <si>
    <t>Number of Blades (N)</t>
  </si>
  <si>
    <r>
      <t>Efficiency (</t>
    </r>
    <r>
      <rPr>
        <b/>
        <sz val="11"/>
        <color theme="1"/>
        <rFont val="Calibri"/>
        <family val="2"/>
      </rPr>
      <t>η)</t>
    </r>
  </si>
  <si>
    <t>Area of Blade (AB) (m^2)</t>
  </si>
  <si>
    <t>Rotor Area (AS) (m^2)</t>
  </si>
  <si>
    <t>Aerofoil Used</t>
  </si>
  <si>
    <t>Total Blade Area (AT) (m^2)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</si>
</sst>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4" fillId="5" borderId="0" xfId="0" applyNumberFormat="1" applyFont="1" applyFill="1" applyAlignment="1">
      <alignment horizontal="center"/>
    </xf>
    <xf numFmtId="0" fontId="1" fillId="2" borderId="0" xfId="0" applyFont="1" applyFill="1"/>
    <xf numFmtId="164" fontId="1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</a:t>
            </a:r>
            <a:r>
              <a:rPr lang="en-US" baseline="0"/>
              <a:t> Turbine Blade</a:t>
            </a:r>
            <a:endParaRPr lang="en-US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HAWT!$E$41</c:f>
              <c:strCache>
                <c:ptCount val="1"/>
                <c:pt idx="0">
                  <c:v>(+)0.5C</c:v>
                </c:pt>
              </c:strCache>
            </c:strRef>
          </c:tx>
          <c:marker>
            <c:symbol val="none"/>
          </c:marker>
          <c:yVal>
            <c:numRef>
              <c:f>HAWT!$F$41:$Y$41</c:f>
              <c:numCache>
                <c:formatCode>0.000</c:formatCode>
                <c:ptCount val="20"/>
                <c:pt idx="0">
                  <c:v>1.0432092176636687E-2</c:v>
                </c:pt>
                <c:pt idx="1">
                  <c:v>1.4842233762222953E-2</c:v>
                </c:pt>
                <c:pt idx="2">
                  <c:v>1.5832377806075427E-2</c:v>
                </c:pt>
                <c:pt idx="3">
                  <c:v>1.5281262105443614E-2</c:v>
                </c:pt>
                <c:pt idx="4">
                  <c:v>1.4183157010590083E-2</c:v>
                </c:pt>
                <c:pt idx="5">
                  <c:v>1.2977933294479249E-2</c:v>
                </c:pt>
                <c:pt idx="6">
                  <c:v>1.1835921509027828E-2</c:v>
                </c:pt>
                <c:pt idx="7">
                  <c:v>1.0811097095078697E-2</c:v>
                </c:pt>
                <c:pt idx="8">
                  <c:v>9.9108313346077878E-3</c:v>
                </c:pt>
                <c:pt idx="9">
                  <c:v>9.1255285194172722E-3</c:v>
                </c:pt>
                <c:pt idx="10">
                  <c:v>8.4407339439956219E-3</c:v>
                </c:pt>
                <c:pt idx="11">
                  <c:v>7.8418459342763092E-3</c:v>
                </c:pt>
                <c:pt idx="12">
                  <c:v>7.3157609541559627E-3</c:v>
                </c:pt>
                <c:pt idx="13">
                  <c:v>6.8512765244051902E-3</c:v>
                </c:pt>
                <c:pt idx="14">
                  <c:v>6.4390181983620441E-3</c:v>
                </c:pt>
                <c:pt idx="15">
                  <c:v>6.0712094913555129E-3</c:v>
                </c:pt>
                <c:pt idx="16">
                  <c:v>5.7414137190435321E-3</c:v>
                </c:pt>
                <c:pt idx="17">
                  <c:v>5.444296051335477E-3</c:v>
                </c:pt>
                <c:pt idx="18">
                  <c:v>5.1754203073269044E-3</c:v>
                </c:pt>
                <c:pt idx="19">
                  <c:v>4.9310814470975026E-3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D3-4FB9-A623-B5DC387936E6}"/>
            </c:ext>
          </c:extLst>
        </c:ser>
        <c:ser>
          <c:idx val="1"/>
          <c:order val="1"/>
          <c:tx>
            <c:strRef>
              <c:f>HAWT!$E$42</c:f>
              <c:strCache>
                <c:ptCount val="1"/>
                <c:pt idx="0">
                  <c:v>(-)0.5C</c:v>
                </c:pt>
              </c:strCache>
            </c:strRef>
          </c:tx>
          <c:marker>
            <c:symbol val="none"/>
          </c:marker>
          <c:yVal>
            <c:numRef>
              <c:f>HAWT!$F$42:$Y$42</c:f>
              <c:numCache>
                <c:formatCode>0.000</c:formatCode>
                <c:ptCount val="20"/>
                <c:pt idx="0">
                  <c:v>-1.0432092176636687E-2</c:v>
                </c:pt>
                <c:pt idx="1">
                  <c:v>-1.4842233762222953E-2</c:v>
                </c:pt>
                <c:pt idx="2">
                  <c:v>-1.5832377806075427E-2</c:v>
                </c:pt>
                <c:pt idx="3">
                  <c:v>-1.5281262105443614E-2</c:v>
                </c:pt>
                <c:pt idx="4">
                  <c:v>-1.4183157010590083E-2</c:v>
                </c:pt>
                <c:pt idx="5">
                  <c:v>-1.2977933294479249E-2</c:v>
                </c:pt>
                <c:pt idx="6">
                  <c:v>-1.1835921509027828E-2</c:v>
                </c:pt>
                <c:pt idx="7">
                  <c:v>-1.0811097095078697E-2</c:v>
                </c:pt>
                <c:pt idx="8">
                  <c:v>-9.9108313346077878E-3</c:v>
                </c:pt>
                <c:pt idx="9">
                  <c:v>-9.1255285194172722E-3</c:v>
                </c:pt>
                <c:pt idx="10">
                  <c:v>-8.4407339439956219E-3</c:v>
                </c:pt>
                <c:pt idx="11">
                  <c:v>-7.8418459342763092E-3</c:v>
                </c:pt>
                <c:pt idx="12">
                  <c:v>-7.3157609541559627E-3</c:v>
                </c:pt>
                <c:pt idx="13">
                  <c:v>-6.8512765244051902E-3</c:v>
                </c:pt>
                <c:pt idx="14">
                  <c:v>-6.4390181983620441E-3</c:v>
                </c:pt>
                <c:pt idx="15">
                  <c:v>-6.0712094913555129E-3</c:v>
                </c:pt>
                <c:pt idx="16">
                  <c:v>-5.7414137190435321E-3</c:v>
                </c:pt>
                <c:pt idx="17">
                  <c:v>-5.444296051335477E-3</c:v>
                </c:pt>
                <c:pt idx="18">
                  <c:v>-5.1754203073269044E-3</c:v>
                </c:pt>
                <c:pt idx="19">
                  <c:v>-4.9310814470975026E-3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D3-4FB9-A623-B5DC38793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573248"/>
        <c:axId val="219575424"/>
      </c:scatterChart>
      <c:valAx>
        <c:axId val="219573248"/>
        <c:scaling>
          <c:orientation val="minMax"/>
          <c:max val="2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Sections</a:t>
                </a:r>
              </a:p>
            </c:rich>
          </c:tx>
          <c:overlay val="0"/>
        </c:title>
        <c:majorTickMark val="none"/>
        <c:minorTickMark val="none"/>
        <c:tickLblPos val="nextTo"/>
        <c:crossAx val="219575424"/>
        <c:crosses val="autoZero"/>
        <c:crossBetween val="midCat"/>
      </c:valAx>
      <c:valAx>
        <c:axId val="21957542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Chord Length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 w="9525">
            <a:noFill/>
          </a:ln>
        </c:spPr>
        <c:crossAx val="21957324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66674</xdr:colOff>
      <xdr:row>23</xdr:row>
      <xdr:rowOff>71437</xdr:rowOff>
    </xdr:from>
    <xdr:to>
      <xdr:col>14</xdr:col>
      <xdr:colOff>533400</xdr:colOff>
      <xdr:row>38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42"/>
  <sheetViews>
    <sheetView showGridLines="0" tabSelected="1" zoomScaleNormal="100" workbookViewId="0">
      <selection activeCell="C8" sqref="C8"/>
    </sheetView>
  </sheetViews>
  <sheetFormatPr defaultColWidth="9.1796875" defaultRowHeight="14.5" x14ac:dyDescent="0.35"/>
  <cols>
    <col min="2" max="2" width="29.7265625" customWidth="1"/>
    <col min="3" max="3" width="10.453125" customWidth="1"/>
    <col min="5" max="5" width="7.54296875" customWidth="1"/>
    <col min="6" max="6" width="11.453125" customWidth="1"/>
    <col min="7" max="7" width="13.26953125" customWidth="1"/>
    <col min="8" max="8" width="10.26953125" customWidth="1"/>
    <col min="9" max="9" width="16.1796875" customWidth="1"/>
    <col min="10" max="10" width="8.7265625" customWidth="1"/>
    <col min="11" max="11" width="17" customWidth="1"/>
    <col min="12" max="13" width="13.26953125" customWidth="1"/>
    <col min="14" max="14" width="9.54296875" bestFit="1" customWidth="1"/>
  </cols>
  <sheetData>
    <row r="2" spans="2:13" ht="43.5" x14ac:dyDescent="0.35">
      <c r="B2" s="1" t="s">
        <v>25</v>
      </c>
      <c r="C2" s="8" t="s">
        <v>2</v>
      </c>
      <c r="E2" s="5" t="s">
        <v>11</v>
      </c>
      <c r="F2" s="6" t="s">
        <v>0</v>
      </c>
      <c r="G2" s="6" t="s">
        <v>9</v>
      </c>
      <c r="H2" s="6" t="s">
        <v>3</v>
      </c>
      <c r="I2" s="6" t="s">
        <v>5</v>
      </c>
      <c r="J2" s="6" t="s">
        <v>7</v>
      </c>
      <c r="K2" s="6" t="s">
        <v>8</v>
      </c>
      <c r="L2" s="6" t="s">
        <v>4</v>
      </c>
      <c r="M2" s="6" t="s">
        <v>15</v>
      </c>
    </row>
    <row r="3" spans="2:13" x14ac:dyDescent="0.35">
      <c r="B3" s="1" t="s">
        <v>3</v>
      </c>
      <c r="C3" s="14">
        <v>1.1000000000000001</v>
      </c>
      <c r="E3" s="3">
        <v>1</v>
      </c>
      <c r="F3" s="4">
        <f t="shared" ref="F3:F21" si="0">IF(G3="","",IF(F4="",$C$5,(F4-($C$5/$C$13))))</f>
        <v>1.4976517842249244E-2</v>
      </c>
      <c r="G3" s="3">
        <f>IF(E3="","",$C$4)</f>
        <v>5</v>
      </c>
      <c r="H3" s="3">
        <f>IF(E3="","",$C$3)</f>
        <v>1.1000000000000001</v>
      </c>
      <c r="I3" s="4">
        <f t="shared" ref="I3:I22" si="1">IF(E3="","",($C$10*F3)/$C$5)</f>
        <v>0.25000000000000178</v>
      </c>
      <c r="J3" s="4">
        <f>IF(E3="","",(2/3)*(DEGREES(ATAN(1/I3))))</f>
        <v>50.642504354715619</v>
      </c>
      <c r="K3" s="4">
        <f>IF(E3="","",J3-G3)</f>
        <v>45.642504354715619</v>
      </c>
      <c r="L3" s="7">
        <f>IF(E3="","",((8*PI()*F3)/(H3*$C$14))*((1-(COS(RADIANS(J3))))/2))</f>
        <v>2.0864184353273373E-2</v>
      </c>
      <c r="M3" s="7">
        <f>F3</f>
        <v>1.4976517842249244E-2</v>
      </c>
    </row>
    <row r="4" spans="2:13" x14ac:dyDescent="0.35">
      <c r="B4" s="1" t="s">
        <v>10</v>
      </c>
      <c r="C4" s="14">
        <v>5</v>
      </c>
      <c r="E4" s="3">
        <f t="shared" ref="E4:E22" si="2">IFERROR((IF(E3+1&gt;$C$13,"",E3+1)),"")</f>
        <v>2</v>
      </c>
      <c r="F4" s="4">
        <f t="shared" si="0"/>
        <v>2.9953035684498381E-2</v>
      </c>
      <c r="G4" s="3">
        <f t="shared" ref="G4:G22" si="3">IF(E4="","",$C$4)</f>
        <v>5</v>
      </c>
      <c r="H4" s="3">
        <f t="shared" ref="H4:H22" si="4">IF(E4="","",$C$3)</f>
        <v>1.1000000000000001</v>
      </c>
      <c r="I4" s="4">
        <f t="shared" si="1"/>
        <v>0.50000000000000178</v>
      </c>
      <c r="J4" s="4">
        <f t="shared" ref="J4:J22" si="5">IF(E4="","",(2/3)*(DEGREES(ATAN(1/I4))))</f>
        <v>42.28996588194795</v>
      </c>
      <c r="K4" s="4">
        <f t="shared" ref="K4:K22" si="6">IF(E4="","",J4-G4)</f>
        <v>37.28996588194795</v>
      </c>
      <c r="L4" s="7">
        <f t="shared" ref="L4:L22" si="7">IF(E4="","",((8*PI()*F4)/(H4*$C$14))*((1-(COS(RADIANS(J4))))/2))</f>
        <v>2.9684467524445906E-2</v>
      </c>
      <c r="M4" s="7">
        <f t="shared" ref="M4:M14" si="8">IF(E4="","",F4-F3)</f>
        <v>1.4976517842249137E-2</v>
      </c>
    </row>
    <row r="5" spans="2:13" x14ac:dyDescent="0.35">
      <c r="B5" s="1" t="s">
        <v>6</v>
      </c>
      <c r="C5" s="9">
        <f>SQRT((2*C7)/(PI()*C8*C12*C11*(C9^3)))</f>
        <v>0.29953035684498275</v>
      </c>
      <c r="E5" s="3">
        <f t="shared" si="2"/>
        <v>3</v>
      </c>
      <c r="F5" s="4">
        <f t="shared" si="0"/>
        <v>4.4929553526747518E-2</v>
      </c>
      <c r="G5" s="3">
        <f t="shared" si="3"/>
        <v>5</v>
      </c>
      <c r="H5" s="3">
        <f t="shared" si="4"/>
        <v>1.1000000000000001</v>
      </c>
      <c r="I5" s="4">
        <f t="shared" si="1"/>
        <v>0.75000000000000178</v>
      </c>
      <c r="J5" s="4">
        <f t="shared" si="5"/>
        <v>35.420068236103944</v>
      </c>
      <c r="K5" s="4">
        <f t="shared" si="6"/>
        <v>30.420068236103944</v>
      </c>
      <c r="L5" s="7">
        <f t="shared" si="7"/>
        <v>3.1664755612150854E-2</v>
      </c>
      <c r="M5" s="7">
        <f t="shared" si="8"/>
        <v>1.4976517842249137E-2</v>
      </c>
    </row>
    <row r="6" spans="2:13" x14ac:dyDescent="0.35">
      <c r="B6" s="1" t="s">
        <v>24</v>
      </c>
      <c r="C6" s="9">
        <f>PI()*(C5^2)</f>
        <v>0.28185877525613418</v>
      </c>
      <c r="E6" s="3">
        <f t="shared" si="2"/>
        <v>4</v>
      </c>
      <c r="F6" s="4">
        <f t="shared" si="0"/>
        <v>5.9906071368996658E-2</v>
      </c>
      <c r="G6" s="3">
        <f t="shared" si="3"/>
        <v>5</v>
      </c>
      <c r="H6" s="3">
        <f t="shared" si="4"/>
        <v>1.1000000000000001</v>
      </c>
      <c r="I6" s="4">
        <f t="shared" si="1"/>
        <v>1.0000000000000018</v>
      </c>
      <c r="J6" s="4">
        <f t="shared" si="5"/>
        <v>29.999999999999964</v>
      </c>
      <c r="K6" s="4">
        <f t="shared" si="6"/>
        <v>24.999999999999964</v>
      </c>
      <c r="L6" s="7">
        <f t="shared" si="7"/>
        <v>3.0562524210887228E-2</v>
      </c>
      <c r="M6" s="7">
        <f t="shared" si="8"/>
        <v>1.497651784224914E-2</v>
      </c>
    </row>
    <row r="7" spans="2:13" x14ac:dyDescent="0.35">
      <c r="B7" s="1" t="s">
        <v>20</v>
      </c>
      <c r="C7" s="14">
        <v>21.3</v>
      </c>
      <c r="E7" s="3">
        <f t="shared" si="2"/>
        <v>5</v>
      </c>
      <c r="F7" s="4">
        <f t="shared" si="0"/>
        <v>7.4882589211245798E-2</v>
      </c>
      <c r="G7" s="3">
        <f t="shared" si="3"/>
        <v>5</v>
      </c>
      <c r="H7" s="3">
        <f t="shared" si="4"/>
        <v>1.1000000000000001</v>
      </c>
      <c r="I7" s="4">
        <f t="shared" si="1"/>
        <v>1.2500000000000018</v>
      </c>
      <c r="J7" s="4">
        <f t="shared" si="5"/>
        <v>25.7732055027267</v>
      </c>
      <c r="K7" s="4">
        <f t="shared" si="6"/>
        <v>20.7732055027267</v>
      </c>
      <c r="L7" s="7">
        <f t="shared" si="7"/>
        <v>2.8366314021180165E-2</v>
      </c>
      <c r="M7" s="7">
        <f t="shared" si="8"/>
        <v>1.497651784224914E-2</v>
      </c>
    </row>
    <row r="8" spans="2:13" x14ac:dyDescent="0.35">
      <c r="B8" s="1" t="s">
        <v>19</v>
      </c>
      <c r="C8" s="14">
        <v>0.4</v>
      </c>
      <c r="E8" s="3">
        <f t="shared" si="2"/>
        <v>6</v>
      </c>
      <c r="F8" s="4">
        <f t="shared" si="0"/>
        <v>8.9859107053494938E-2</v>
      </c>
      <c r="G8" s="3">
        <f t="shared" si="3"/>
        <v>5</v>
      </c>
      <c r="H8" s="3">
        <f t="shared" si="4"/>
        <v>1.1000000000000001</v>
      </c>
      <c r="I8" s="4">
        <f t="shared" si="1"/>
        <v>1.5000000000000018</v>
      </c>
      <c r="J8" s="4">
        <f t="shared" si="5"/>
        <v>22.460045017319835</v>
      </c>
      <c r="K8" s="4">
        <f t="shared" si="6"/>
        <v>17.460045017319835</v>
      </c>
      <c r="L8" s="7">
        <f t="shared" si="7"/>
        <v>2.5955866588958498E-2</v>
      </c>
      <c r="M8" s="7">
        <f t="shared" si="8"/>
        <v>1.497651784224914E-2</v>
      </c>
    </row>
    <row r="9" spans="2:13" ht="29" x14ac:dyDescent="0.35">
      <c r="B9" s="2" t="s">
        <v>18</v>
      </c>
      <c r="C9" s="14">
        <v>7</v>
      </c>
      <c r="E9" s="3">
        <f t="shared" si="2"/>
        <v>7</v>
      </c>
      <c r="F9" s="4">
        <f t="shared" si="0"/>
        <v>0.10483562489574408</v>
      </c>
      <c r="G9" s="3">
        <f t="shared" si="3"/>
        <v>5</v>
      </c>
      <c r="H9" s="3">
        <f t="shared" si="4"/>
        <v>1.1000000000000001</v>
      </c>
      <c r="I9" s="4">
        <f t="shared" si="1"/>
        <v>1.7500000000000018</v>
      </c>
      <c r="J9" s="4">
        <f t="shared" si="5"/>
        <v>19.829920864628129</v>
      </c>
      <c r="K9" s="4">
        <f t="shared" si="6"/>
        <v>14.829920864628129</v>
      </c>
      <c r="L9" s="7">
        <f t="shared" si="7"/>
        <v>2.3671843018055656E-2</v>
      </c>
      <c r="M9" s="7">
        <f t="shared" si="8"/>
        <v>1.497651784224914E-2</v>
      </c>
    </row>
    <row r="10" spans="2:13" ht="29" x14ac:dyDescent="0.35">
      <c r="B10" s="2" t="s">
        <v>17</v>
      </c>
      <c r="C10" s="14">
        <v>5</v>
      </c>
      <c r="E10" s="3">
        <f t="shared" si="2"/>
        <v>8</v>
      </c>
      <c r="F10" s="4">
        <f t="shared" si="0"/>
        <v>0.11981214273799322</v>
      </c>
      <c r="G10" s="3">
        <f t="shared" si="3"/>
        <v>5</v>
      </c>
      <c r="H10" s="3">
        <f t="shared" si="4"/>
        <v>1.1000000000000001</v>
      </c>
      <c r="I10" s="4">
        <f t="shared" si="1"/>
        <v>2.0000000000000018</v>
      </c>
      <c r="J10" s="4">
        <f t="shared" si="5"/>
        <v>17.710034118051979</v>
      </c>
      <c r="K10" s="4">
        <f t="shared" si="6"/>
        <v>12.710034118051979</v>
      </c>
      <c r="L10" s="7">
        <f t="shared" si="7"/>
        <v>2.1622194190157394E-2</v>
      </c>
      <c r="M10" s="7">
        <f t="shared" si="8"/>
        <v>1.497651784224914E-2</v>
      </c>
    </row>
    <row r="11" spans="2:13" x14ac:dyDescent="0.35">
      <c r="B11" s="2" t="s">
        <v>1</v>
      </c>
      <c r="C11" s="10">
        <v>1.224</v>
      </c>
      <c r="E11" s="3">
        <f t="shared" si="2"/>
        <v>9</v>
      </c>
      <c r="F11" s="4">
        <f t="shared" si="0"/>
        <v>0.13478866058024236</v>
      </c>
      <c r="G11" s="3">
        <f t="shared" si="3"/>
        <v>5</v>
      </c>
      <c r="H11" s="3">
        <f t="shared" si="4"/>
        <v>1.1000000000000001</v>
      </c>
      <c r="I11" s="4">
        <f t="shared" si="1"/>
        <v>2.2500000000000022</v>
      </c>
      <c r="J11" s="4">
        <f t="shared" si="5"/>
        <v>15.974992649718775</v>
      </c>
      <c r="K11" s="4">
        <f t="shared" si="6"/>
        <v>10.974992649718775</v>
      </c>
      <c r="L11" s="7">
        <f t="shared" si="7"/>
        <v>1.9821662669215576E-2</v>
      </c>
      <c r="M11" s="7">
        <f t="shared" si="8"/>
        <v>1.497651784224914E-2</v>
      </c>
    </row>
    <row r="12" spans="2:13" x14ac:dyDescent="0.35">
      <c r="B12" s="1" t="s">
        <v>22</v>
      </c>
      <c r="C12" s="14">
        <v>0.9</v>
      </c>
      <c r="E12" s="3">
        <f t="shared" si="2"/>
        <v>10</v>
      </c>
      <c r="F12" s="4">
        <f t="shared" si="0"/>
        <v>0.14976517842249149</v>
      </c>
      <c r="G12" s="3">
        <f t="shared" si="3"/>
        <v>5</v>
      </c>
      <c r="H12" s="3">
        <f t="shared" si="4"/>
        <v>1.1000000000000001</v>
      </c>
      <c r="I12" s="4">
        <f t="shared" si="1"/>
        <v>2.5000000000000018</v>
      </c>
      <c r="J12" s="4">
        <f t="shared" si="5"/>
        <v>14.534272990901197</v>
      </c>
      <c r="K12" s="4">
        <f t="shared" si="6"/>
        <v>9.5342729909011972</v>
      </c>
      <c r="L12" s="7">
        <f t="shared" si="7"/>
        <v>1.8251057038834544E-2</v>
      </c>
      <c r="M12" s="7">
        <f t="shared" si="8"/>
        <v>1.4976517842249126E-2</v>
      </c>
    </row>
    <row r="13" spans="2:13" x14ac:dyDescent="0.35">
      <c r="B13" s="2" t="s">
        <v>12</v>
      </c>
      <c r="C13" s="14">
        <v>20</v>
      </c>
      <c r="E13" s="3">
        <f t="shared" si="2"/>
        <v>11</v>
      </c>
      <c r="F13" s="4">
        <f t="shared" si="0"/>
        <v>0.16474169626474061</v>
      </c>
      <c r="G13" s="3">
        <f t="shared" si="3"/>
        <v>5</v>
      </c>
      <c r="H13" s="3">
        <f t="shared" si="4"/>
        <v>1.1000000000000001</v>
      </c>
      <c r="I13" s="4">
        <f t="shared" si="1"/>
        <v>2.7500000000000013</v>
      </c>
      <c r="J13" s="4">
        <f t="shared" si="5"/>
        <v>13.322071014599979</v>
      </c>
      <c r="K13" s="4">
        <f t="shared" si="6"/>
        <v>8.3220710145999792</v>
      </c>
      <c r="L13" s="7">
        <f t="shared" si="7"/>
        <v>1.6881467887991244E-2</v>
      </c>
      <c r="M13" s="7">
        <f t="shared" si="8"/>
        <v>1.4976517842249126E-2</v>
      </c>
    </row>
    <row r="14" spans="2:13" x14ac:dyDescent="0.35">
      <c r="B14" s="2" t="s">
        <v>21</v>
      </c>
      <c r="C14" s="10">
        <v>3</v>
      </c>
      <c r="E14" s="3">
        <f t="shared" si="2"/>
        <v>12</v>
      </c>
      <c r="F14" s="4">
        <f t="shared" si="0"/>
        <v>0.17971821410698974</v>
      </c>
      <c r="G14" s="3">
        <f t="shared" si="3"/>
        <v>5</v>
      </c>
      <c r="H14" s="3">
        <f t="shared" si="4"/>
        <v>1.1000000000000001</v>
      </c>
      <c r="I14" s="4">
        <f t="shared" si="1"/>
        <v>3.0000000000000013</v>
      </c>
      <c r="J14" s="4">
        <f t="shared" si="5"/>
        <v>12.289965881948001</v>
      </c>
      <c r="K14" s="4">
        <f t="shared" si="6"/>
        <v>7.2899658819480013</v>
      </c>
      <c r="L14" s="7">
        <f t="shared" si="7"/>
        <v>1.5683691868552618E-2</v>
      </c>
      <c r="M14" s="7">
        <f t="shared" si="8"/>
        <v>1.4976517842249126E-2</v>
      </c>
    </row>
    <row r="15" spans="2:13" x14ac:dyDescent="0.35">
      <c r="B15" s="2" t="s">
        <v>16</v>
      </c>
      <c r="C15" s="9">
        <f ca="1">C16/C6</f>
        <v>5.796039747866652E-2</v>
      </c>
      <c r="E15" s="3">
        <f t="shared" si="2"/>
        <v>13</v>
      </c>
      <c r="F15" s="4">
        <f t="shared" si="0"/>
        <v>0.19469473194923886</v>
      </c>
      <c r="G15" s="3">
        <f t="shared" si="3"/>
        <v>5</v>
      </c>
      <c r="H15" s="3">
        <f t="shared" si="4"/>
        <v>1.1000000000000001</v>
      </c>
      <c r="I15" s="4">
        <f t="shared" si="1"/>
        <v>3.2500000000000013</v>
      </c>
      <c r="J15" s="4">
        <f t="shared" si="5"/>
        <v>11.401819312701576</v>
      </c>
      <c r="K15" s="4">
        <f t="shared" si="6"/>
        <v>6.4018193127015763</v>
      </c>
      <c r="L15" s="7">
        <f t="shared" si="7"/>
        <v>1.4631521908311925E-2</v>
      </c>
      <c r="M15" s="7">
        <f>IF(E15="","",F15-F14)</f>
        <v>1.4976517842249126E-2</v>
      </c>
    </row>
    <row r="16" spans="2:13" x14ac:dyDescent="0.35">
      <c r="B16" s="2" t="s">
        <v>26</v>
      </c>
      <c r="C16" s="9">
        <f ca="1">C17*C14</f>
        <v>1.6336646646695673E-2</v>
      </c>
      <c r="E16" s="3">
        <f t="shared" si="2"/>
        <v>14</v>
      </c>
      <c r="F16" s="4">
        <f t="shared" si="0"/>
        <v>0.20967124979148799</v>
      </c>
      <c r="G16" s="3">
        <f t="shared" si="3"/>
        <v>5</v>
      </c>
      <c r="H16" s="3">
        <f t="shared" si="4"/>
        <v>1.1000000000000001</v>
      </c>
      <c r="I16" s="4">
        <f t="shared" si="1"/>
        <v>3.5000000000000013</v>
      </c>
      <c r="J16" s="4">
        <f t="shared" si="5"/>
        <v>10.630263933948566</v>
      </c>
      <c r="K16" s="4">
        <f t="shared" si="6"/>
        <v>5.6302639339485658</v>
      </c>
      <c r="L16" s="7">
        <f t="shared" si="7"/>
        <v>1.370255304881038E-2</v>
      </c>
      <c r="M16" s="7">
        <f t="shared" ref="M16:M22" si="9">IF(E16="","",F16-F15)</f>
        <v>1.4976517842249126E-2</v>
      </c>
    </row>
    <row r="17" spans="2:13" x14ac:dyDescent="0.35">
      <c r="B17" s="2" t="s">
        <v>23</v>
      </c>
      <c r="C17" s="13">
        <f ca="1">SUMPRODUCT((OFFSET(L3,0,0,C13-1,1)+OFFSET(L4,0,0,C13-1,1))/2,OFFSET(M3,0,0,C13-1,1))</f>
        <v>5.4455488822318914E-3</v>
      </c>
      <c r="E17" s="3">
        <f t="shared" si="2"/>
        <v>15</v>
      </c>
      <c r="F17" s="4">
        <f t="shared" si="0"/>
        <v>0.22464776763373712</v>
      </c>
      <c r="G17" s="3">
        <f t="shared" si="3"/>
        <v>5</v>
      </c>
      <c r="H17" s="3">
        <f t="shared" si="4"/>
        <v>1.1000000000000001</v>
      </c>
      <c r="I17" s="4">
        <f t="shared" si="1"/>
        <v>3.7500000000000009</v>
      </c>
      <c r="J17" s="4">
        <f t="shared" si="5"/>
        <v>9.9542781187583671</v>
      </c>
      <c r="K17" s="4">
        <f t="shared" si="6"/>
        <v>4.9542781187583671</v>
      </c>
      <c r="L17" s="7">
        <f t="shared" si="7"/>
        <v>1.2878036396724088E-2</v>
      </c>
      <c r="M17" s="7">
        <f t="shared" si="9"/>
        <v>1.4976517842249126E-2</v>
      </c>
    </row>
    <row r="18" spans="2:13" x14ac:dyDescent="0.35">
      <c r="E18" s="3">
        <f t="shared" si="2"/>
        <v>16</v>
      </c>
      <c r="F18" s="4">
        <f t="shared" si="0"/>
        <v>0.23962428547598624</v>
      </c>
      <c r="G18" s="3">
        <f t="shared" si="3"/>
        <v>5</v>
      </c>
      <c r="H18" s="3">
        <f t="shared" si="4"/>
        <v>1.1000000000000001</v>
      </c>
      <c r="I18" s="4">
        <f t="shared" si="1"/>
        <v>4.0000000000000009</v>
      </c>
      <c r="J18" s="4">
        <f t="shared" si="5"/>
        <v>9.3574956452843168</v>
      </c>
      <c r="K18" s="4">
        <f t="shared" si="6"/>
        <v>4.3574956452843168</v>
      </c>
      <c r="L18" s="7">
        <f t="shared" si="7"/>
        <v>1.2142418982711026E-2</v>
      </c>
      <c r="M18" s="7">
        <f t="shared" si="9"/>
        <v>1.4976517842249126E-2</v>
      </c>
    </row>
    <row r="19" spans="2:13" x14ac:dyDescent="0.35">
      <c r="E19" s="3">
        <f t="shared" si="2"/>
        <v>17</v>
      </c>
      <c r="F19" s="4">
        <f t="shared" si="0"/>
        <v>0.25460080331823537</v>
      </c>
      <c r="G19" s="3">
        <f t="shared" si="3"/>
        <v>5</v>
      </c>
      <c r="H19" s="3">
        <f t="shared" si="4"/>
        <v>1.1000000000000001</v>
      </c>
      <c r="I19" s="4">
        <f t="shared" si="1"/>
        <v>4.2500000000000009</v>
      </c>
      <c r="J19" s="4">
        <f t="shared" si="5"/>
        <v>8.8270132767914671</v>
      </c>
      <c r="K19" s="4">
        <f t="shared" si="6"/>
        <v>3.8270132767914671</v>
      </c>
      <c r="L19" s="7">
        <f t="shared" si="7"/>
        <v>1.1482827438087064E-2</v>
      </c>
      <c r="M19" s="7">
        <f t="shared" si="9"/>
        <v>1.4976517842249126E-2</v>
      </c>
    </row>
    <row r="20" spans="2:13" x14ac:dyDescent="0.35">
      <c r="E20" s="3">
        <f t="shared" si="2"/>
        <v>18</v>
      </c>
      <c r="F20" s="4">
        <f t="shared" si="0"/>
        <v>0.2695773211604845</v>
      </c>
      <c r="G20" s="3">
        <f t="shared" si="3"/>
        <v>5</v>
      </c>
      <c r="H20" s="3">
        <f t="shared" si="4"/>
        <v>1.1000000000000001</v>
      </c>
      <c r="I20" s="4">
        <f t="shared" si="1"/>
        <v>4.5</v>
      </c>
      <c r="J20" s="4">
        <f t="shared" si="5"/>
        <v>8.352538472767673</v>
      </c>
      <c r="K20" s="4">
        <f t="shared" si="6"/>
        <v>3.352538472767673</v>
      </c>
      <c r="L20" s="7">
        <f t="shared" si="7"/>
        <v>1.0888592102670954E-2</v>
      </c>
      <c r="M20" s="7">
        <f t="shared" si="9"/>
        <v>1.4976517842249126E-2</v>
      </c>
    </row>
    <row r="21" spans="2:13" x14ac:dyDescent="0.35">
      <c r="E21" s="3">
        <f t="shared" si="2"/>
        <v>19</v>
      </c>
      <c r="F21" s="4">
        <f t="shared" si="0"/>
        <v>0.28455383900273362</v>
      </c>
      <c r="G21" s="3">
        <f t="shared" si="3"/>
        <v>5</v>
      </c>
      <c r="H21" s="3">
        <f t="shared" si="4"/>
        <v>1.1000000000000001</v>
      </c>
      <c r="I21" s="4">
        <f t="shared" si="1"/>
        <v>4.75</v>
      </c>
      <c r="J21" s="4">
        <f t="shared" si="5"/>
        <v>7.9257720264186498</v>
      </c>
      <c r="K21" s="4">
        <f t="shared" si="6"/>
        <v>2.9257720264186498</v>
      </c>
      <c r="L21" s="7">
        <f t="shared" si="7"/>
        <v>1.0350840614653809E-2</v>
      </c>
      <c r="M21" s="7">
        <f t="shared" si="9"/>
        <v>1.4976517842249126E-2</v>
      </c>
    </row>
    <row r="22" spans="2:13" x14ac:dyDescent="0.35">
      <c r="E22" s="3">
        <f t="shared" si="2"/>
        <v>20</v>
      </c>
      <c r="F22" s="4">
        <f>IF(G22="","",IF(C39="",$C$5,(C39-($C$5/$C$13))))</f>
        <v>0.29953035684498275</v>
      </c>
      <c r="G22" s="3">
        <f t="shared" si="3"/>
        <v>5</v>
      </c>
      <c r="H22" s="3">
        <f t="shared" si="4"/>
        <v>1.1000000000000001</v>
      </c>
      <c r="I22" s="4">
        <f t="shared" si="1"/>
        <v>5</v>
      </c>
      <c r="J22" s="4">
        <f t="shared" si="5"/>
        <v>7.5399549826801433</v>
      </c>
      <c r="K22" s="4">
        <f t="shared" si="6"/>
        <v>2.5399549826801433</v>
      </c>
      <c r="L22" s="7">
        <f t="shared" si="7"/>
        <v>9.8621628941950052E-3</v>
      </c>
      <c r="M22" s="7">
        <f t="shared" si="9"/>
        <v>1.4976517842249126E-2</v>
      </c>
    </row>
    <row r="41" spans="5:25" x14ac:dyDescent="0.35">
      <c r="E41" s="12" t="s">
        <v>14</v>
      </c>
      <c r="F41" s="11">
        <f>IFERROR(0.5*$L3,#N/A)</f>
        <v>1.0432092176636687E-2</v>
      </c>
      <c r="G41" s="11">
        <f>IFERROR(0.5*$L4,#N/A)</f>
        <v>1.4842233762222953E-2</v>
      </c>
      <c r="H41" s="11">
        <f>IFERROR(0.5*$L5,#N/A)</f>
        <v>1.5832377806075427E-2</v>
      </c>
      <c r="I41" s="11">
        <f>IFERROR(0.5*$L6,#N/A)</f>
        <v>1.5281262105443614E-2</v>
      </c>
      <c r="J41" s="11">
        <f>IFERROR(0.5*$L7,#N/A)</f>
        <v>1.4183157010590083E-2</v>
      </c>
      <c r="K41" s="11">
        <f>IFERROR(0.5*$L8,#N/A)</f>
        <v>1.2977933294479249E-2</v>
      </c>
      <c r="L41" s="11">
        <f>IFERROR(0.5*$L9,#N/A)</f>
        <v>1.1835921509027828E-2</v>
      </c>
      <c r="M41" s="11">
        <f>IFERROR(0.5*$L10,#N/A)</f>
        <v>1.0811097095078697E-2</v>
      </c>
      <c r="N41" s="11">
        <f>IFERROR(0.5*$L11,#N/A)</f>
        <v>9.9108313346077878E-3</v>
      </c>
      <c r="O41" s="11">
        <f>IFERROR(0.5*$L12,#N/A)</f>
        <v>9.1255285194172722E-3</v>
      </c>
      <c r="P41" s="11">
        <f>IFERROR(0.5*$L13,#N/A)</f>
        <v>8.4407339439956219E-3</v>
      </c>
      <c r="Q41" s="11">
        <f>IFERROR(0.5*$L14,#N/A)</f>
        <v>7.8418459342763092E-3</v>
      </c>
      <c r="R41" s="11">
        <f>IFERROR(0.5*$L15,#N/A)</f>
        <v>7.3157609541559627E-3</v>
      </c>
      <c r="S41" s="11">
        <f>IFERROR(0.5*$L16,#N/A)</f>
        <v>6.8512765244051902E-3</v>
      </c>
      <c r="T41" s="11">
        <f>IFERROR(0.5*$L17,#N/A)</f>
        <v>6.4390181983620441E-3</v>
      </c>
      <c r="U41" s="11">
        <f>IFERROR(0.5*$L18,#N/A)</f>
        <v>6.0712094913555129E-3</v>
      </c>
      <c r="V41" s="11">
        <f>IFERROR(0.5*$L19,#N/A)</f>
        <v>5.7414137190435321E-3</v>
      </c>
      <c r="W41" s="11">
        <f>IFERROR(0.5*$L20,#N/A)</f>
        <v>5.444296051335477E-3</v>
      </c>
      <c r="X41" s="11">
        <f>IFERROR(0.5*$L21,#N/A)</f>
        <v>5.1754203073269044E-3</v>
      </c>
      <c r="Y41" s="11">
        <f>IFERROR(0.5*$L22,#N/A)</f>
        <v>4.9310814470975026E-3</v>
      </c>
    </row>
    <row r="42" spans="5:25" x14ac:dyDescent="0.35">
      <c r="E42" s="12" t="s">
        <v>13</v>
      </c>
      <c r="F42" s="11">
        <f t="shared" ref="F42:L42" si="10">IFERROR(-F$41,#N/A)</f>
        <v>-1.0432092176636687E-2</v>
      </c>
      <c r="G42" s="11">
        <f t="shared" si="10"/>
        <v>-1.4842233762222953E-2</v>
      </c>
      <c r="H42" s="11">
        <f t="shared" si="10"/>
        <v>-1.5832377806075427E-2</v>
      </c>
      <c r="I42" s="11">
        <f t="shared" si="10"/>
        <v>-1.5281262105443614E-2</v>
      </c>
      <c r="J42" s="11">
        <f t="shared" si="10"/>
        <v>-1.4183157010590083E-2</v>
      </c>
      <c r="K42" s="11">
        <f t="shared" si="10"/>
        <v>-1.2977933294479249E-2</v>
      </c>
      <c r="L42" s="11">
        <f t="shared" si="10"/>
        <v>-1.1835921509027828E-2</v>
      </c>
      <c r="M42" s="11">
        <f t="shared" ref="M42:Y42" si="11">IFERROR(-M$41,#N/A)</f>
        <v>-1.0811097095078697E-2</v>
      </c>
      <c r="N42" s="11">
        <f t="shared" si="11"/>
        <v>-9.9108313346077878E-3</v>
      </c>
      <c r="O42" s="11">
        <f t="shared" si="11"/>
        <v>-9.1255285194172722E-3</v>
      </c>
      <c r="P42" s="11">
        <f t="shared" si="11"/>
        <v>-8.4407339439956219E-3</v>
      </c>
      <c r="Q42" s="11">
        <f t="shared" si="11"/>
        <v>-7.8418459342763092E-3</v>
      </c>
      <c r="R42" s="11">
        <f t="shared" si="11"/>
        <v>-7.3157609541559627E-3</v>
      </c>
      <c r="S42" s="11">
        <f t="shared" si="11"/>
        <v>-6.8512765244051902E-3</v>
      </c>
      <c r="T42" s="11">
        <f t="shared" si="11"/>
        <v>-6.4390181983620441E-3</v>
      </c>
      <c r="U42" s="11">
        <f t="shared" si="11"/>
        <v>-6.0712094913555129E-3</v>
      </c>
      <c r="V42" s="11">
        <f t="shared" si="11"/>
        <v>-5.7414137190435321E-3</v>
      </c>
      <c r="W42" s="11">
        <f t="shared" si="11"/>
        <v>-5.444296051335477E-3</v>
      </c>
      <c r="X42" s="11">
        <f t="shared" si="11"/>
        <v>-5.1754203073269044E-3</v>
      </c>
      <c r="Y42" s="11">
        <f t="shared" si="11"/>
        <v>-4.9310814470975026E-3</v>
      </c>
    </row>
  </sheetData>
  <sheetProtection password="9F87" sheet="1" objects="1" scenarios="1"/>
  <conditionalFormatting sqref="C13">
    <cfRule type="cellIs" dxfId="0" priority="1" operator="greaterThan">
      <formula>20</formula>
    </cfRule>
  </conditionalFormatting>
  <dataValidations count="1">
    <dataValidation type="whole" allowBlank="1" showInputMessage="1" showErrorMessage="1" errorTitle="Error" error="The minimum number of sections is 5 and the maximum is 20." sqref="C13" xr:uid="{00000000-0002-0000-0000-000000000000}">
      <formula1>5</formula1>
      <formula2>20</formula2>
    </dataValidation>
  </dataValidation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Daniel Shauri</cp:lastModifiedBy>
  <dcterms:created xsi:type="dcterms:W3CDTF">2024-11-25T11:47:45Z</dcterms:created>
  <dcterms:modified xsi:type="dcterms:W3CDTF">2026-05-10T19:40:43Z</dcterms:modified>
</cp:coreProperties>
</file>